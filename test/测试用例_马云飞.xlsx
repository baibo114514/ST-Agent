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st\ST-Agent\test\"/>
    </mc:Choice>
  </mc:AlternateContent>
  <xr:revisionPtr revIDLastSave="0" documentId="13_ncr:1_{8896C0C6-F482-4B8B-A39D-39EA2B5DF7A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 s="1"/>
  <c r="C38" i="1" l="1"/>
  <c r="E38" i="1" s="1"/>
  <c r="C39" i="1"/>
  <c r="E39" i="1" s="1"/>
  <c r="C40" i="1"/>
  <c r="E40" i="1" s="1"/>
  <c r="C41" i="1"/>
  <c r="E41" i="1" s="1"/>
</calcChain>
</file>

<file path=xl/sharedStrings.xml><?xml version="1.0" encoding="utf-8"?>
<sst xmlns="http://schemas.openxmlformats.org/spreadsheetml/2006/main" count="298" uniqueCount="193">
  <si>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</si>
  <si>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</si>
  <si>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</si>
  <si>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</si>
  <si>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</si>
  <si>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</si>
  <si>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</si>
  <si>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</si>
  <si>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</si>
  <si>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</si>
  <si>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</si>
  <si>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</si>
  <si>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</si>
  <si>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</si>
  <si>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</si>
  <si>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</si>
  <si>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</si>
  <si>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</si>
  <si>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</si>
  <si>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</si>
  <si>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</si>
  <si>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</si>
  <si>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</si>
  <si>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</si>
  <si>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</si>
  <si>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</si>
  <si>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</si>
  <si>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</si>
  <si>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</si>
  <si>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</si>
  <si>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</si>
  <si>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</si>
  <si>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</si>
  <si>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</si>
  <si>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</si>
  <si>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</si>
  <si>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</si>
  <si>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</si>
  <si>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</si>
  <si>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</si>
  <si>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</si>
  <si>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</si>
  <si>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</si>
  <si>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</si>
  <si>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</si>
  <si>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</si>
  <si>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</si>
  <si>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</si>
  <si>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</si>
  <si>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</si>
  <si>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</si>
  <si>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</si>
  <si>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</si>
  <si>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</si>
  <si>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</si>
  <si>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</si>
  <si>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</si>
  <si>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</si>
  <si>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</si>
  <si>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</si>
  <si>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</si>
  <si>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</si>
  <si>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</si>
  <si>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</si>
  <si>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</si>
  <si>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</si>
  <si>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</si>
  <si>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</si>
  <si>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</si>
  <si>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</si>
  <si>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</si>
  <si>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</si>
  <si>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</si>
  <si>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</si>
  <si>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</si>
  <si>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ST-AGENT-001</t>
  </si>
  <si>
    <t>Agent创建</t>
  </si>
  <si>
    <t>管理员创建禁用知识库的Agent</t>
  </si>
  <si>
    <t>High</t>
  </si>
  <si>
    <t>管理员已登录；测试数据库可用；不调用真实 LLM。</t>
  </si>
  <si>
    <t>POST /api/v1/admin/platform/agent-catalog；合法 agentCode、name、roleDescription，knowledge.enabled=false。</t>
  </si>
  <si>
    <t>发送创建请求并查询 platform_agent 表。</t>
  </si>
  <si>
    <t>HTTP 200；Agent 初始 status=draft、version=1；配置正确持久化；knowledge.kbIds 为空。</t>
  </si>
  <si>
    <t>等价类（有效类）+ 场景法</t>
  </si>
  <si>
    <t>ST-AGENT-002</t>
  </si>
  <si>
    <t>Agent编码校验</t>
  </si>
  <si>
    <t>包含非法字符的agentCode被拒绝</t>
  </si>
  <si>
    <t>管理员已登录。</t>
  </si>
  <si>
    <t>agentCode="bad.agent"；其他必填字段合法。</t>
  </si>
  <si>
    <t>调用 Agent 创建接口。</t>
  </si>
  <si>
    <t>HTTP 400；detail=Agent code format is invalid；数据库不新增记录。</t>
  </si>
  <si>
    <t>等价类（非法格式）</t>
  </si>
  <si>
    <t>ST-AGENT-003</t>
  </si>
  <si>
    <t>重复agentCode创建冲突</t>
  </si>
  <si>
    <t>数据库中已存在 agent_code=course_agent。</t>
  </si>
  <si>
    <t>再次创建 agentCode=course_agent。</t>
  </si>
  <si>
    <t>发送创建请求。</t>
  </si>
  <si>
    <t>HTTP 409；detail=Agent code already exists；原 Agent 不被覆盖。</t>
  </si>
  <si>
    <t>场景法（唯一性冲突）</t>
  </si>
  <si>
    <t>是</t>
  </si>
  <si>
    <t>新增</t>
  </si>
  <si>
    <t>ST-AGENT-004</t>
  </si>
  <si>
    <t>知识库配置</t>
  </si>
  <si>
    <t>启用知识库但kbIds为空被拒绝</t>
  </si>
  <si>
    <t>管理员已登录；Mock knowledge-service。</t>
  </si>
  <si>
    <t>knowledge={"enabled":true,"kbIds":[],"topK":5,"scoreThreshold":0}</t>
  </si>
  <si>
    <t>创建或更新 Agent。</t>
  </si>
  <si>
    <t>HTTP 400；detail=Knowledge bases are required；不保存配置。</t>
  </si>
  <si>
    <t>边界值（空集合）</t>
  </si>
  <si>
    <t>ST-AGENT-005</t>
  </si>
  <si>
    <t>绑定超过10个知识库被拒绝</t>
  </si>
  <si>
    <t>knowledge.enabled=true，kbIds 包含11个不同非空ID。</t>
  </si>
  <si>
    <t>HTTP 422；提示最多绑定10个知识库；不调用 knowledge-service 校验。</t>
  </si>
  <si>
    <t>边界值（上边界+1）</t>
  </si>
  <si>
    <t>ST-AGENT-006</t>
  </si>
  <si>
    <t>绑定不存在或非active知识库被拒绝</t>
  </si>
  <si>
    <t>Mock knowledge-service 列表仅返回部分 active kbIds。</t>
  </si>
  <si>
    <t>knowledge.enabled=true，kbIds 中包含 archived 或不存在的ID。</t>
  </si>
  <si>
    <t>HTTP 400；detail.message=Knowledge base is not active；detail.kbIds 列出所有无效ID。</t>
  </si>
  <si>
    <t>等价类（无效依赖资源）</t>
  </si>
  <si>
    <t>ST-AGENT-007</t>
  </si>
  <si>
    <t>Agent更新</t>
  </si>
  <si>
    <t>更新Agent后版本号递增</t>
  </si>
  <si>
    <t>目标 Agent 存在且 version=1；管理员已登录。</t>
  </si>
  <si>
    <t>PUT /api/v1/admin/platform/agent-catalog/{agentId}；提交合法的新名称或描述。</t>
  </si>
  <si>
    <t>更新 Agent 后重新查询。</t>
  </si>
  <si>
    <t>HTTP 200；修改字段已保存；version=2；updatedAt 更新；createdBy 和 createdAt 不变。</t>
  </si>
  <si>
    <t>场景法（版本演进）</t>
  </si>
  <si>
    <t>ST-AGENT-008</t>
  </si>
  <si>
    <t>更新不存在的Agent返回404</t>
  </si>
  <si>
    <t>管理员已登录；目标 agentId 不存在。</t>
  </si>
  <si>
    <t>PUT /api/v1/admin/platform/agent-catalog/not-found；合法请求体。</t>
  </si>
  <si>
    <t>发送更新请求。</t>
  </si>
  <si>
    <t>HTTP 404；detail=Agent not found；数据库无新增记录。</t>
  </si>
  <si>
    <t>等价类（资源不存在）</t>
  </si>
  <si>
    <t>ST-AGENT-009</t>
  </si>
  <si>
    <t>Agent状态</t>
  </si>
  <si>
    <t>首次发布Agent记录发布时间</t>
  </si>
  <si>
    <t>目标 Agent 当前为 draft 且 published_at=None。</t>
  </si>
  <si>
    <t>PUT /api/v1/admin/platform/agent-catalog/{agentId}/status；JSON：{"status":"published"}</t>
  </si>
  <si>
    <t>切换状态并读取响应。</t>
  </si>
  <si>
    <t>HTTP 200；status=published；publishedAt 非空；普通用户目录可以看到该 Agent。</t>
  </si>
  <si>
    <t>场景法（状态转换）</t>
  </si>
  <si>
    <t>ST-AGENT-010</t>
  </si>
  <si>
    <t>下线Agent不可见且不可调用</t>
  </si>
  <si>
    <t>目标 Agent 已发布；Mock chatbot，确保不实际调用模型。</t>
  </si>
  <si>
    <t>将状态改为 offline；随后请求 GET /api/v1/agents 和 POST /api/v1/agents/{id}/chat/stream。</t>
  </si>
  <si>
    <t>下线后查询公开目录并尝试调用。</t>
  </si>
  <si>
    <t>公开目录不包含该 Agent；调用返回404 Agent not found；chatbot.astream_response 未执行。</t>
  </si>
  <si>
    <t>场景法（状态转换+访问控制）</t>
  </si>
  <si>
    <t>ST-AGENT-011</t>
  </si>
  <si>
    <t>路由限流检查</t>
  </si>
  <si>
    <t>所有 Session 路由均配置速率限制</t>
  </si>
  <si>
    <t>Medium</t>
  </si>
  <si>
    <t>已导入 sessions 模块；模块源码可被 inspect / ast 解析；路由函数使用 @router.* 装饰器，限流使用 @limiter.limit 装饰器</t>
  </si>
  <si>
    <t>sessions 模块对象/源码</t>
  </si>
  <si>
    <t>调用 _unlimited_route_functions(sessions)，通过 AST 遍历函数定义，筛选存在 router 装饰器但缺少 limiter.limit 装饰器的函数，并断言结果为空</t>
  </si>
  <si>
    <t>返回 []；不存在未配置限流的 Session 路由</t>
  </si>
  <si>
    <t>静态分析（AST 装饰器覆盖检查）</t>
  </si>
  <si>
    <t>ST-AGENT-012</t>
  </si>
  <si>
    <t>所有 Auth 路由均配置速率限制</t>
  </si>
  <si>
    <t>已导入 auth_api 模块；模块源码可被 inspect / ast 解析；路由函数使用 @router.* 装饰器，限流使用 @limiter.limit 装饰器</t>
  </si>
  <si>
    <t>auth_api 模块对象/源码</t>
  </si>
  <si>
    <t>调用 _unlimited_route_functions(auth_api)，通过 AST 遍历函数定义，筛选存在 router 装饰器但缺少 limiter.limit 装饰器的函数，并断言结果为空</t>
  </si>
  <si>
    <t>返回 []；不存在未配置限流的 Auth 路由</t>
  </si>
  <si>
    <t>ST-AGENT-013</t>
  </si>
  <si>
    <t>公开Agent目录</t>
  </si>
  <si>
    <t>普通用户目录只返回published Agent</t>
  </si>
  <si>
    <t>数据库中分别存在 draft、published、offline Agent；用户已登录。</t>
  </si>
  <si>
    <t>GET /api/v1/agents。</t>
  </si>
  <si>
    <t>请求公开 Agent 列表。</t>
  </si>
  <si>
    <t>HTTP 200；items 仅含 published；total 等于 items 数量；不暴露 roleDescription、config、createdBy。</t>
  </si>
  <si>
    <t>场景法（状态过滤+最小披露）</t>
  </si>
  <si>
    <t>ST-AGENT-014</t>
  </si>
  <si>
    <t>Agent列表</t>
  </si>
  <si>
    <t>管理端列表可排除offline Agent</t>
  </si>
  <si>
    <t>修改</t>
  </si>
  <si>
    <t>数据库中存在 published 和 offline Agent；不调用 LLM。</t>
  </si>
  <si>
    <t>调用 list_platform_agents(include_offline=false)。</t>
  </si>
  <si>
    <t>获取管理端 Agent 列表并检查返回ID。</t>
  </si>
  <si>
    <t>结果只包含非 offline Agent；offline Agent 不出现在列表中。</t>
  </si>
  <si>
    <t>等价类（状态过滤）</t>
  </si>
  <si>
    <t>ST-AGENT-015</t>
  </si>
  <si>
    <t>不支持的Agent状态被拒绝</t>
  </si>
  <si>
    <t>目标 Agent ID 任意；不执行数据库写入。</t>
  </si>
  <si>
    <t>requested_status=deleted。</t>
  </si>
  <si>
    <t>调用 change_status。</t>
  </si>
  <si>
    <t>HTTP 400；detail=Unsupported agent status；数据库状态不变。</t>
  </si>
  <si>
    <t>等价类（非法枚举值）</t>
  </si>
  <si>
    <t>OK</t>
  </si>
  <si>
    <t>PASSED</t>
  </si>
  <si>
    <t>FAILED</t>
    <phoneticPr fontId="5" type="noConversion"/>
  </si>
  <si>
    <t>NG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</si>
</sst>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-1.3224485643803566E-5</c:v>
                </c:pt>
                <c:pt idx="1">
                  <c:v>0</c:v>
                </c:pt>
                <c:pt idx="2">
                  <c:v>-2.0345362528928561E-6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-983025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8" t="s">
        <v>9</v>
      </c>
      <c r="C37" s="49"/>
      <c r="D37" s="49"/>
      <c r="E37" s="50"/>
    </row>
    <row r="38" spans="2:11" x14ac:dyDescent="0.25">
      <c r="B38" s="27" t="s">
        <v>38</v>
      </c>
      <c r="C38" s="28">
        <f>IF($E$13=0,0,COUNTIF('Test Cases测试用例'!$L:$L,"=OK"))</f>
        <v>13</v>
      </c>
      <c r="D38" s="27" t="s">
        <v>39</v>
      </c>
      <c r="E38" s="29">
        <f>IF(E13=0,0,C38/E13)</f>
        <v>-1.3224485643803566E-5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2</v>
      </c>
      <c r="D40" s="27" t="s">
        <v>43</v>
      </c>
      <c r="E40" s="29">
        <f>IF(E13=0,0,C40/E13)</f>
        <v>-2.0345362528928561E-6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1">
        <f>E13</f>
        <v>-983025</v>
      </c>
      <c r="D43" s="52"/>
      <c r="E43" s="53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topLeftCell="A10" zoomScale="87" zoomScaleNormal="87" workbookViewId="0">
      <selection activeCell="L13" sqref="L13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35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99</v>
      </c>
      <c r="F2" s="46" t="s">
        <v>100</v>
      </c>
      <c r="G2" s="46" t="s">
        <v>79</v>
      </c>
      <c r="H2" s="46" t="s">
        <v>80</v>
      </c>
      <c r="I2" s="46" t="s">
        <v>81</v>
      </c>
      <c r="J2" s="46" t="s">
        <v>82</v>
      </c>
      <c r="K2" s="46" t="s">
        <v>190</v>
      </c>
      <c r="L2" s="46" t="s">
        <v>189</v>
      </c>
      <c r="M2" s="46" t="s">
        <v>83</v>
      </c>
      <c r="N2" s="45" t="s">
        <v>72</v>
      </c>
    </row>
    <row r="3" spans="1:140" ht="60" x14ac:dyDescent="0.2">
      <c r="A3" s="46" t="s">
        <v>84</v>
      </c>
      <c r="B3" s="46" t="s">
        <v>85</v>
      </c>
      <c r="C3" s="46" t="s">
        <v>86</v>
      </c>
      <c r="D3" s="46" t="s">
        <v>78</v>
      </c>
      <c r="E3" s="46" t="s">
        <v>99</v>
      </c>
      <c r="F3" s="46" t="s">
        <v>100</v>
      </c>
      <c r="G3" s="46" t="s">
        <v>87</v>
      </c>
      <c r="H3" s="46" t="s">
        <v>88</v>
      </c>
      <c r="I3" s="46" t="s">
        <v>89</v>
      </c>
      <c r="J3" s="46" t="s">
        <v>90</v>
      </c>
      <c r="K3" s="46" t="s">
        <v>190</v>
      </c>
      <c r="L3" s="46" t="s">
        <v>189</v>
      </c>
      <c r="M3" s="46" t="s">
        <v>91</v>
      </c>
      <c r="N3" s="45" t="s">
        <v>55</v>
      </c>
    </row>
    <row r="4" spans="1:140" ht="60" x14ac:dyDescent="0.2">
      <c r="A4" s="46" t="s">
        <v>92</v>
      </c>
      <c r="B4" s="46" t="s">
        <v>76</v>
      </c>
      <c r="C4" s="46" t="s">
        <v>93</v>
      </c>
      <c r="D4" s="47" t="s">
        <v>78</v>
      </c>
      <c r="E4" s="46" t="s">
        <v>99</v>
      </c>
      <c r="F4" s="46" t="s">
        <v>100</v>
      </c>
      <c r="G4" s="46" t="s">
        <v>94</v>
      </c>
      <c r="H4" s="46" t="s">
        <v>95</v>
      </c>
      <c r="I4" s="46" t="s">
        <v>96</v>
      </c>
      <c r="J4" s="46" t="s">
        <v>97</v>
      </c>
      <c r="K4" s="46" t="s">
        <v>190</v>
      </c>
      <c r="L4" s="46" t="s">
        <v>189</v>
      </c>
      <c r="M4" s="46" t="s">
        <v>98</v>
      </c>
      <c r="N4" s="45" t="s">
        <v>56</v>
      </c>
    </row>
    <row r="5" spans="1:140" ht="60" x14ac:dyDescent="0.2">
      <c r="A5" s="46" t="s">
        <v>101</v>
      </c>
      <c r="B5" s="46" t="s">
        <v>102</v>
      </c>
      <c r="C5" s="46" t="s">
        <v>103</v>
      </c>
      <c r="D5" s="46" t="s">
        <v>78</v>
      </c>
      <c r="E5" s="46" t="s">
        <v>99</v>
      </c>
      <c r="F5" s="46" t="s">
        <v>100</v>
      </c>
      <c r="G5" s="46" t="s">
        <v>104</v>
      </c>
      <c r="H5" s="46" t="s">
        <v>105</v>
      </c>
      <c r="I5" s="46" t="s">
        <v>106</v>
      </c>
      <c r="J5" s="46" t="s">
        <v>107</v>
      </c>
      <c r="K5" s="46" t="s">
        <v>190</v>
      </c>
      <c r="L5" s="46" t="s">
        <v>189</v>
      </c>
      <c r="M5" s="46" t="s">
        <v>108</v>
      </c>
      <c r="N5" s="45" t="s">
        <v>57</v>
      </c>
    </row>
    <row r="6" spans="1:140" ht="60" x14ac:dyDescent="0.2">
      <c r="A6" s="46" t="s">
        <v>109</v>
      </c>
      <c r="B6" s="46" t="s">
        <v>102</v>
      </c>
      <c r="C6" s="46" t="s">
        <v>110</v>
      </c>
      <c r="D6" s="46" t="s">
        <v>78</v>
      </c>
      <c r="E6" s="46" t="s">
        <v>99</v>
      </c>
      <c r="F6" s="46" t="s">
        <v>100</v>
      </c>
      <c r="G6" s="46" t="s">
        <v>87</v>
      </c>
      <c r="H6" s="46" t="s">
        <v>111</v>
      </c>
      <c r="I6" s="46" t="s">
        <v>106</v>
      </c>
      <c r="J6" s="46" t="s">
        <v>112</v>
      </c>
      <c r="K6" s="46" t="s">
        <v>190</v>
      </c>
      <c r="L6" s="46" t="s">
        <v>189</v>
      </c>
      <c r="M6" s="46" t="s">
        <v>113</v>
      </c>
    </row>
    <row r="7" spans="1:140" ht="75" x14ac:dyDescent="0.2">
      <c r="A7" s="46" t="s">
        <v>114</v>
      </c>
      <c r="B7" s="46" t="s">
        <v>102</v>
      </c>
      <c r="C7" s="46" t="s">
        <v>115</v>
      </c>
      <c r="D7" s="46" t="s">
        <v>78</v>
      </c>
      <c r="E7" s="46" t="s">
        <v>99</v>
      </c>
      <c r="F7" s="46" t="s">
        <v>100</v>
      </c>
      <c r="G7" s="46" t="s">
        <v>116</v>
      </c>
      <c r="H7" s="46" t="s">
        <v>117</v>
      </c>
      <c r="I7" s="46" t="s">
        <v>106</v>
      </c>
      <c r="J7" s="46" t="s">
        <v>118</v>
      </c>
      <c r="K7" s="46" t="s">
        <v>190</v>
      </c>
      <c r="L7" s="46" t="s">
        <v>189</v>
      </c>
      <c r="M7" s="46" t="s">
        <v>119</v>
      </c>
    </row>
    <row r="8" spans="1:140" ht="90" x14ac:dyDescent="0.2">
      <c r="A8" s="46" t="s">
        <v>120</v>
      </c>
      <c r="B8" s="46" t="s">
        <v>121</v>
      </c>
      <c r="C8" s="46" t="s">
        <v>122</v>
      </c>
      <c r="D8" s="46" t="s">
        <v>78</v>
      </c>
      <c r="E8" s="46" t="s">
        <v>99</v>
      </c>
      <c r="F8" s="46" t="s">
        <v>100</v>
      </c>
      <c r="G8" s="46" t="s">
        <v>123</v>
      </c>
      <c r="H8" s="46" t="s">
        <v>124</v>
      </c>
      <c r="I8" s="46" t="s">
        <v>125</v>
      </c>
      <c r="J8" s="46" t="s">
        <v>126</v>
      </c>
      <c r="K8" s="46" t="s">
        <v>190</v>
      </c>
      <c r="L8" s="46" t="s">
        <v>189</v>
      </c>
      <c r="M8" s="46" t="s">
        <v>127</v>
      </c>
    </row>
    <row r="9" spans="1:140" ht="90" x14ac:dyDescent="0.2">
      <c r="A9" s="46" t="s">
        <v>128</v>
      </c>
      <c r="B9" s="46" t="s">
        <v>121</v>
      </c>
      <c r="C9" s="46" t="s">
        <v>129</v>
      </c>
      <c r="D9" s="46" t="s">
        <v>78</v>
      </c>
      <c r="E9" s="46" t="s">
        <v>99</v>
      </c>
      <c r="F9" s="46" t="s">
        <v>100</v>
      </c>
      <c r="G9" s="46" t="s">
        <v>130</v>
      </c>
      <c r="H9" s="46" t="s">
        <v>131</v>
      </c>
      <c r="I9" s="46" t="s">
        <v>132</v>
      </c>
      <c r="J9" s="46" t="s">
        <v>133</v>
      </c>
      <c r="K9" s="46" t="s">
        <v>190</v>
      </c>
      <c r="L9" s="46" t="s">
        <v>189</v>
      </c>
      <c r="M9" s="46" t="s">
        <v>134</v>
      </c>
    </row>
    <row r="10" spans="1:140" ht="105" x14ac:dyDescent="0.2">
      <c r="A10" s="46" t="s">
        <v>135</v>
      </c>
      <c r="B10" s="46" t="s">
        <v>136</v>
      </c>
      <c r="C10" s="46" t="s">
        <v>137</v>
      </c>
      <c r="D10" s="46" t="s">
        <v>78</v>
      </c>
      <c r="E10" s="46" t="s">
        <v>99</v>
      </c>
      <c r="F10" s="46" t="s">
        <v>100</v>
      </c>
      <c r="G10" s="46" t="s">
        <v>138</v>
      </c>
      <c r="H10" s="46" t="s">
        <v>139</v>
      </c>
      <c r="I10" s="46" t="s">
        <v>140</v>
      </c>
      <c r="J10" s="46" t="s">
        <v>141</v>
      </c>
      <c r="K10" s="46" t="s">
        <v>190</v>
      </c>
      <c r="L10" s="46" t="s">
        <v>189</v>
      </c>
      <c r="M10" s="46" t="s">
        <v>142</v>
      </c>
    </row>
    <row r="11" spans="1:140" ht="105" x14ac:dyDescent="0.2">
      <c r="A11" s="46" t="s">
        <v>143</v>
      </c>
      <c r="B11" s="46" t="s">
        <v>136</v>
      </c>
      <c r="C11" s="46" t="s">
        <v>144</v>
      </c>
      <c r="D11" s="46" t="s">
        <v>78</v>
      </c>
      <c r="E11" s="46" t="s">
        <v>99</v>
      </c>
      <c r="F11" s="46" t="s">
        <v>100</v>
      </c>
      <c r="G11" s="46" t="s">
        <v>145</v>
      </c>
      <c r="H11" s="46" t="s">
        <v>146</v>
      </c>
      <c r="I11" s="46" t="s">
        <v>147</v>
      </c>
      <c r="J11" s="46" t="s">
        <v>148</v>
      </c>
      <c r="K11" s="46" t="s">
        <v>190</v>
      </c>
      <c r="L11" s="46" t="s">
        <v>189</v>
      </c>
      <c r="M11" s="46" t="s">
        <v>149</v>
      </c>
    </row>
    <row r="12" spans="1:140" ht="135" x14ac:dyDescent="0.2">
      <c r="A12" s="46" t="s">
        <v>150</v>
      </c>
      <c r="B12" s="46" t="s">
        <v>151</v>
      </c>
      <c r="C12" s="46" t="s">
        <v>152</v>
      </c>
      <c r="D12" s="46" t="s">
        <v>153</v>
      </c>
      <c r="E12" s="46"/>
      <c r="F12" s="46"/>
      <c r="G12" s="46" t="s">
        <v>154</v>
      </c>
      <c r="H12" s="46" t="s">
        <v>155</v>
      </c>
      <c r="I12" s="46" t="s">
        <v>156</v>
      </c>
      <c r="J12" s="46" t="s">
        <v>157</v>
      </c>
      <c r="K12" s="46" t="s">
        <v>191</v>
      </c>
      <c r="L12" s="46" t="s">
        <v>192</v>
      </c>
      <c r="M12" s="46" t="s">
        <v>158</v>
      </c>
    </row>
    <row r="13" spans="1:140" ht="135" x14ac:dyDescent="0.2">
      <c r="A13" s="46" t="s">
        <v>159</v>
      </c>
      <c r="B13" s="46" t="s">
        <v>151</v>
      </c>
      <c r="C13" s="46" t="s">
        <v>160</v>
      </c>
      <c r="D13" s="46" t="s">
        <v>153</v>
      </c>
      <c r="E13" s="46"/>
      <c r="F13" s="46"/>
      <c r="G13" s="46" t="s">
        <v>161</v>
      </c>
      <c r="H13" s="46" t="s">
        <v>162</v>
      </c>
      <c r="I13" s="46" t="s">
        <v>163</v>
      </c>
      <c r="J13" s="46" t="s">
        <v>164</v>
      </c>
      <c r="K13" s="46" t="s">
        <v>191</v>
      </c>
      <c r="L13" s="46" t="s">
        <v>192</v>
      </c>
      <c r="M13" s="46" t="s">
        <v>158</v>
      </c>
    </row>
    <row r="14" spans="1:140" ht="75" x14ac:dyDescent="0.2">
      <c r="A14" s="46" t="s">
        <v>165</v>
      </c>
      <c r="B14" s="46" t="s">
        <v>166</v>
      </c>
      <c r="C14" s="46" t="s">
        <v>167</v>
      </c>
      <c r="D14" s="46" t="s">
        <v>153</v>
      </c>
      <c r="E14" s="46" t="s">
        <v>99</v>
      </c>
      <c r="F14" s="46" t="s">
        <v>100</v>
      </c>
      <c r="G14" s="46" t="s">
        <v>168</v>
      </c>
      <c r="H14" s="46" t="s">
        <v>169</v>
      </c>
      <c r="I14" s="46" t="s">
        <v>170</v>
      </c>
      <c r="J14" s="46" t="s">
        <v>171</v>
      </c>
      <c r="K14" s="46" t="s">
        <v>190</v>
      </c>
      <c r="L14" s="46" t="s">
        <v>189</v>
      </c>
      <c r="M14" s="46" t="s">
        <v>172</v>
      </c>
    </row>
    <row r="15" spans="1:140" ht="60" x14ac:dyDescent="0.2">
      <c r="A15" s="46" t="s">
        <v>173</v>
      </c>
      <c r="B15" s="46" t="s">
        <v>174</v>
      </c>
      <c r="C15" s="46" t="s">
        <v>175</v>
      </c>
      <c r="D15" s="46" t="s">
        <v>153</v>
      </c>
      <c r="E15" s="46" t="s">
        <v>99</v>
      </c>
      <c r="F15" s="46" t="s">
        <v>176</v>
      </c>
      <c r="G15" s="46" t="s">
        <v>177</v>
      </c>
      <c r="H15" s="46" t="s">
        <v>178</v>
      </c>
      <c r="I15" s="46" t="s">
        <v>179</v>
      </c>
      <c r="J15" s="46" t="s">
        <v>180</v>
      </c>
      <c r="K15" s="46" t="s">
        <v>190</v>
      </c>
      <c r="L15" s="46" t="s">
        <v>189</v>
      </c>
      <c r="M15" s="46" t="s">
        <v>181</v>
      </c>
    </row>
    <row r="16" spans="1:140" ht="60" x14ac:dyDescent="0.2">
      <c r="A16" s="46" t="s">
        <v>182</v>
      </c>
      <c r="B16" s="46" t="s">
        <v>136</v>
      </c>
      <c r="C16" s="46" t="s">
        <v>183</v>
      </c>
      <c r="D16" s="46" t="s">
        <v>78</v>
      </c>
      <c r="E16" s="46" t="s">
        <v>99</v>
      </c>
      <c r="F16" s="46" t="s">
        <v>176</v>
      </c>
      <c r="G16" s="46" t="s">
        <v>184</v>
      </c>
      <c r="H16" s="46" t="s">
        <v>185</v>
      </c>
      <c r="I16" s="46" t="s">
        <v>186</v>
      </c>
      <c r="J16" s="46" t="s">
        <v>187</v>
      </c>
      <c r="K16" s="46" t="s">
        <v>190</v>
      </c>
      <c r="L16" s="46" t="s">
        <v>189</v>
      </c>
      <c r="M16" s="46" t="s">
        <v>188</v>
      </c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:K16" xr:uid="{7D24D68F-CCA5-4E6A-B972-4C85DC44BB9E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2026-09-15T09:43:20Z</dcterms:modified>
</cp:coreProperties>
</file>